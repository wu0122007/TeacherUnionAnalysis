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wuma\Downloads\"/>
    </mc:Choice>
  </mc:AlternateContent>
  <xr:revisionPtr revIDLastSave="0" documentId="8_{D893FFBF-634E-491F-AA9F-94F8C4B330F3}" xr6:coauthVersionLast="47" xr6:coauthVersionMax="47" xr10:uidLastSave="{00000000-0000-0000-0000-000000000000}"/>
  <bookViews>
    <workbookView xWindow="-110" yWindow="-110" windowWidth="19420" windowHeight="11500" xr2:uid="{0D7DA689-BF3E-4E6F-A8D7-BAAD85CA14D8}"/>
  </bookViews>
  <sheets>
    <sheet name="EducationDataset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5" i="1" l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</calcChain>
</file>

<file path=xl/sharedStrings.xml><?xml version="1.0" encoding="utf-8"?>
<sst xmlns="http://schemas.openxmlformats.org/spreadsheetml/2006/main" count="67" uniqueCount="67">
  <si>
    <t>State</t>
  </si>
  <si>
    <t>PovertyRate</t>
  </si>
  <si>
    <t>TeacherAveragePay</t>
  </si>
  <si>
    <t>GDPPerCapita</t>
  </si>
  <si>
    <t>TeacherUnionParticipation</t>
  </si>
  <si>
    <t>UnionStrength</t>
  </si>
  <si>
    <t>PerPupilExpenditure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</si>
  <si>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</si>
  <si>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</si>
  <si>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</si>
  <si>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</si>
  <si>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</si>
  <si>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</si>
  <si>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</si>
  <si>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</si>
  <si>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</si>
  <si>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</si>
  <si>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</si>
  <si>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</si>
  <si>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</si>
  <si>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</si>
  <si>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</si>
  <si>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</si>
  <si>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</si>
  <si>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</si>
  <si>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</si>
  <si>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</si>
  <si>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</si>
  <si>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</si>
  <si>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</si>
  <si>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</si>
  <si>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</si>
  <si>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</si>
  <si>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</si>
  <si>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</si>
  <si>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</si>
  <si>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</si>
  <si>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</si>
  <si>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</si>
  <si>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</si>
  <si>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</si>
  <si>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</si>
  <si>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</si>
  <si>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</si>
  <si>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</si>
  <si>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</si>
  <si>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</si>
  <si>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</si>
  <si>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</si>
  <si>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</si>
  <si>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</si>
  <si>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</si>
  <si>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</si>
  <si>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</si>
  <si>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</si>
  <si>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</si>
  <si>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</si>
  <si>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</si>
  <si>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NAEPMathProficient</t>
  </si>
  <si>
    <t>NAEPEnglishProficient</t>
  </si>
  <si>
    <t>CombinedEducationQuality</t>
  </si>
  <si>
    <t>UnionStrengthRanking</t>
  </si>
  <si>
    <t>PopulationDensityMile</t>
  </si>
  <si>
    <t>GDPPerCapita2014</t>
  </si>
  <si>
    <t>GDPPerCapitaGrowth</t>
  </si>
  <si>
    <t>logGDPPC</t>
  </si>
  <si>
    <t>logGDPPC2014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</si>
</sst>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Calibri"/>
      <family val="2"/>
    </font>
    <font>
      <sz val="10"/>
      <name val="Couri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">
    <xf numFmtId="0" fontId="0" fillId="0" borderId="0" xfId="0"/>
    <xf numFmtId="3" fontId="0" fillId="0" borderId="0" xfId="0" applyNumberFormat="1"/>
  </cellXfs>
  <cellStyles count="3">
    <cellStyle name="Normal" xfId="0" builtinId="0"/>
    <cellStyle name="Normal 2" xfId="1" xr:uid="{C178D33E-DB03-4EC6-B77D-67CB644C728F}"/>
    <cellStyle name="Normal 3" xfId="2" xr:uid="{83FE5F49-7A02-48AA-B8C1-5E4464297B34}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F3E914-3E95-4BC5-B111-936A14D7C9B4}" name="Table1" displayName="Table1" ref="A1:P53" totalsRowShown="0">
  <autoFilter ref="A1:P53" xr:uid="{C3F3E914-3E95-4BC5-B111-936A14D7C9B4}"/>
  <tableColumns count="16">
    <tableColumn id="1" xr3:uid="{5566EC1E-1C3C-447A-9453-E3EBEC17FCCF}" name="State"/>
    <tableColumn id="2" xr3:uid="{CD3A63A2-AD82-4800-A7E3-304C7E44C8C5}" name="PovertyRate"/>
    <tableColumn id="3" xr3:uid="{B6A44FE1-C573-47DA-A9EC-FB7B033C4CFE}" name="PopulationDensityMile"/>
    <tableColumn id="4" xr3:uid="{3384E2F8-CC49-4820-9B4C-D219D5E29FF1}" name="TeacherAveragePay"/>
    <tableColumn id="5" xr3:uid="{DF0AE429-FA07-49EA-925E-17AE1680327E}" name="GDPPerCapita"/>
    <tableColumn id="6" xr3:uid="{20A19166-4E19-401F-BAFE-C6B1E4021E5C}" name="TeacherUnionParticipation"/>
    <tableColumn id="12" xr3:uid="{7EFEE288-07EC-4445-8185-9EACA09710C4}" name="UnionStrengthRanking"/>
    <tableColumn id="7" xr3:uid="{7985FA19-7506-484E-9FBB-773BB3B00567}" name="NAEPMathProficient"/>
    <tableColumn id="13" xr3:uid="{E3CF6B36-28D1-4CC0-BACA-FB135205F122}" name="NAEPEnglishProficient"/>
    <tableColumn id="14" xr3:uid="{4C80A8F2-1567-481C-9C2F-68E674253050}" name="CombinedEducationQuality" dataDxfId="4">
      <calculatedColumnFormula>(H2+I2)/2</calculatedColumnFormula>
    </tableColumn>
    <tableColumn id="11" xr3:uid="{2DBD1A48-2B6D-44DA-9704-218187B4B6F6}" name="PerPupilExpenditure"/>
    <tableColumn id="16" xr3:uid="{89B89DD9-6B7E-467B-AAFA-6E20C57EF3FB}" name="GDPPerCapita2014"/>
    <tableColumn id="17" xr3:uid="{BF24F38F-A211-4353-818F-24DAB3368367}" name="GDPPerCapitaGrowth" dataDxfId="3">
      <calculatedColumnFormula>((E2-L2)/L2)*100</calculatedColumnFormula>
    </tableColumn>
    <tableColumn id="18" xr3:uid="{D93E333E-9C71-41FB-A8BF-075E12AFF0D0}" name="logGDPPC" dataDxfId="2">
      <calculatedColumnFormula>LOG(E2)</calculatedColumnFormula>
    </tableColumn>
    <tableColumn id="19" xr3:uid="{9B08627A-EB92-4FA5-8184-AB6DB823E91C}" name="logGDPPC2014" dataDxfId="1">
      <calculatedColumnFormula>LOG(L2)</calculatedColumnFormula>
    </tableColumn>
    <tableColumn id="20" xr3:uid="{86ED22C6-410D-4F7F-A349-BEAC55029D8F}" name="UnionStrengt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8AAEC-98FB-4FF1-8DC8-D59957E40624}">
  <dimension ref="A1:P52"/>
  <sheetViews>
    <sheetView tabSelected="1" zoomScale="68" workbookViewId="0">
      <selection activeCell="V7" sqref="V7"/>
    </sheetView>
  </sheetViews>
  <sheetFormatPr defaultRowHeight="14.5" x14ac:dyDescent="0.35"/>
  <cols>
    <col min="1" max="1" width="10.453125" customWidth="1"/>
  </cols>
  <sheetData>
    <row r="1" spans="1:16" x14ac:dyDescent="0.35">
      <c r="A1" t="s">
        <v>0</v>
      </c>
      <c r="B1" t="s">
        <v>1</v>
      </c>
      <c r="C1" t="s">
        <v>62</v>
      </c>
      <c r="D1" t="s">
        <v>2</v>
      </c>
      <c r="E1" t="s">
        <v>3</v>
      </c>
      <c r="F1" t="s">
        <v>4</v>
      </c>
      <c r="G1" t="s">
        <v>61</v>
      </c>
      <c r="H1" t="s">
        <v>58</v>
      </c>
      <c r="I1" t="s">
        <v>59</v>
      </c>
      <c r="J1" t="s">
        <v>60</v>
      </c>
      <c r="K1" t="s">
        <v>6</v>
      </c>
      <c r="L1" t="s">
        <v>63</v>
      </c>
      <c r="M1" t="s">
        <v>64</v>
      </c>
      <c r="N1" t="s">
        <v>65</v>
      </c>
      <c r="O1" t="s">
        <v>66</v>
      </c>
      <c r="P1" t="s">
        <v>5</v>
      </c>
    </row>
    <row r="2" spans="1:16" x14ac:dyDescent="0.35">
      <c r="A2" t="s">
        <v>7</v>
      </c>
      <c r="B2">
        <v>16.100000000000001</v>
      </c>
      <c r="C2">
        <v>101</v>
      </c>
      <c r="D2">
        <v>55050</v>
      </c>
      <c r="E2">
        <v>59692</v>
      </c>
      <c r="F2">
        <v>0.73</v>
      </c>
      <c r="G2">
        <v>20</v>
      </c>
      <c r="H2">
        <v>18</v>
      </c>
      <c r="I2">
        <v>21</v>
      </c>
      <c r="J2">
        <f>(H2+I2)/2</f>
        <v>19.5</v>
      </c>
      <c r="K2" s="1">
        <v>13857</v>
      </c>
      <c r="L2">
        <v>40684.3724174124</v>
      </c>
      <c r="M2">
        <f>((E2-L2)/L2)*100</f>
        <v>46.719726649765342</v>
      </c>
      <c r="N2">
        <f>LOG(E2)</f>
        <v>4.7759161303142319</v>
      </c>
      <c r="O2">
        <f>LOG(L2)</f>
        <v>4.6094276211118492</v>
      </c>
      <c r="P2">
        <v>4</v>
      </c>
    </row>
    <row r="3" spans="1:16" x14ac:dyDescent="0.35">
      <c r="A3" t="s">
        <v>8</v>
      </c>
      <c r="B3">
        <v>10.5</v>
      </c>
      <c r="C3">
        <v>1.3</v>
      </c>
      <c r="D3">
        <v>74870</v>
      </c>
      <c r="E3">
        <v>92794</v>
      </c>
      <c r="F3">
        <v>0.86</v>
      </c>
      <c r="G3">
        <v>15</v>
      </c>
      <c r="H3">
        <v>22</v>
      </c>
      <c r="I3">
        <v>22</v>
      </c>
      <c r="J3">
        <f>(H3+I3)/2</f>
        <v>22</v>
      </c>
      <c r="K3" s="1">
        <v>16979</v>
      </c>
      <c r="L3">
        <v>76772.919987789573</v>
      </c>
      <c r="M3">
        <f>((E3-L3)/L3)*100</f>
        <v>20.868139462141748</v>
      </c>
      <c r="N3">
        <f>LOG(E3)</f>
        <v>4.9675198959264781</v>
      </c>
      <c r="O3">
        <f>LOG(L3)</f>
        <v>4.8852080589143609</v>
      </c>
      <c r="P3">
        <v>4</v>
      </c>
    </row>
    <row r="4" spans="1:16" x14ac:dyDescent="0.35">
      <c r="A4" t="s">
        <v>9</v>
      </c>
      <c r="B4">
        <v>12.8</v>
      </c>
      <c r="C4">
        <v>65</v>
      </c>
      <c r="D4">
        <v>59490</v>
      </c>
      <c r="E4">
        <v>70346</v>
      </c>
      <c r="F4">
        <v>0.31</v>
      </c>
      <c r="G4">
        <v>51</v>
      </c>
      <c r="H4">
        <v>26</v>
      </c>
      <c r="I4">
        <v>25</v>
      </c>
      <c r="J4">
        <f>(H4+I4)/2</f>
        <v>25.5</v>
      </c>
      <c r="K4" s="1">
        <v>11560</v>
      </c>
      <c r="L4">
        <v>42578.55450414704</v>
      </c>
      <c r="M4">
        <f>((E4-L4)/L4)*100</f>
        <v>65.214626985865593</v>
      </c>
      <c r="N4">
        <f>LOG(E4)</f>
        <v>4.8472394077079901</v>
      </c>
      <c r="O4">
        <f>LOG(L4)</f>
        <v>4.6291909135248375</v>
      </c>
      <c r="P4">
        <v>1</v>
      </c>
    </row>
    <row r="5" spans="1:16" x14ac:dyDescent="0.35">
      <c r="A5" t="s">
        <v>10</v>
      </c>
      <c r="B5">
        <v>16.3</v>
      </c>
      <c r="C5">
        <v>59</v>
      </c>
      <c r="D5">
        <v>53080</v>
      </c>
      <c r="E5">
        <v>58221</v>
      </c>
      <c r="F5">
        <v>0.26100000000000001</v>
      </c>
      <c r="G5">
        <v>48</v>
      </c>
      <c r="H5">
        <v>20</v>
      </c>
      <c r="I5">
        <v>25</v>
      </c>
      <c r="J5">
        <f>(H5+I5)/2</f>
        <v>22.5</v>
      </c>
      <c r="K5" s="1">
        <v>13190</v>
      </c>
      <c r="L5">
        <v>39541.336969420554</v>
      </c>
      <c r="M5">
        <f>((E5-L5)/L5)*100</f>
        <v>47.240848343153992</v>
      </c>
      <c r="N5">
        <f>LOG(E5)</f>
        <v>4.7650796605798131</v>
      </c>
      <c r="O5">
        <f>LOG(L5)</f>
        <v>4.5970513495660565</v>
      </c>
      <c r="P5">
        <v>1</v>
      </c>
    </row>
    <row r="6" spans="1:16" x14ac:dyDescent="0.35">
      <c r="A6" t="s">
        <v>11</v>
      </c>
      <c r="B6">
        <v>12.3</v>
      </c>
      <c r="C6">
        <v>250</v>
      </c>
      <c r="D6">
        <v>92960</v>
      </c>
      <c r="E6">
        <v>99329</v>
      </c>
      <c r="F6">
        <v>0.90700000000000003</v>
      </c>
      <c r="G6">
        <v>6</v>
      </c>
      <c r="H6">
        <v>25</v>
      </c>
      <c r="I6">
        <v>28</v>
      </c>
      <c r="J6">
        <f>(H6+I6)/2</f>
        <v>26.5</v>
      </c>
      <c r="K6" s="1">
        <v>16132</v>
      </c>
      <c r="L6">
        <v>60700.148906206196</v>
      </c>
      <c r="M6">
        <f>((E6-L6)/L6)*100</f>
        <v>63.638807795155593</v>
      </c>
      <c r="N6">
        <f>LOG(E6)</f>
        <v>4.997076063210903</v>
      </c>
      <c r="O6">
        <f>LOG(L6)</f>
        <v>4.783189756463468</v>
      </c>
      <c r="P6">
        <v>5</v>
      </c>
    </row>
    <row r="7" spans="1:16" x14ac:dyDescent="0.35">
      <c r="A7" t="s">
        <v>12</v>
      </c>
      <c r="B7">
        <v>9.6999999999999993</v>
      </c>
      <c r="C7">
        <v>57</v>
      </c>
      <c r="D7">
        <v>62730</v>
      </c>
      <c r="E7">
        <v>90109</v>
      </c>
      <c r="F7">
        <v>0.57199999999999995</v>
      </c>
      <c r="G7">
        <v>35</v>
      </c>
      <c r="H7">
        <v>32</v>
      </c>
      <c r="I7">
        <v>35</v>
      </c>
      <c r="J7">
        <f>(H7+I7)/2</f>
        <v>33.5</v>
      </c>
      <c r="K7" s="1">
        <v>14994</v>
      </c>
      <c r="L7">
        <v>57770.384952314162</v>
      </c>
      <c r="M7">
        <f>((E7-L7)/L7)*100</f>
        <v>55.977842409011714</v>
      </c>
      <c r="N7">
        <f>LOG(E7)</f>
        <v>4.9547681700593573</v>
      </c>
      <c r="O7">
        <f>LOG(L7)</f>
        <v>4.7617052614674789</v>
      </c>
      <c r="P7">
        <v>2</v>
      </c>
    </row>
    <row r="8" spans="1:16" x14ac:dyDescent="0.35">
      <c r="A8" t="s">
        <v>13</v>
      </c>
      <c r="B8">
        <v>10.1</v>
      </c>
      <c r="C8">
        <v>747</v>
      </c>
      <c r="D8">
        <v>80230</v>
      </c>
      <c r="E8">
        <v>95630</v>
      </c>
      <c r="F8">
        <v>0.97</v>
      </c>
      <c r="G8">
        <v>17</v>
      </c>
      <c r="H8">
        <v>32</v>
      </c>
      <c r="I8">
        <v>35</v>
      </c>
      <c r="J8">
        <f>(H8+I8)/2</f>
        <v>33.5</v>
      </c>
      <c r="K8" s="1">
        <v>22022</v>
      </c>
      <c r="L8">
        <v>68725.117828337592</v>
      </c>
      <c r="M8">
        <f>((E8-L8)/L8)*100</f>
        <v>39.148542806235326</v>
      </c>
      <c r="N8">
        <f>LOG(E8)</f>
        <v>4.9805941557762203</v>
      </c>
      <c r="O8">
        <f>LOG(L8)</f>
        <v>4.8371154931084916</v>
      </c>
      <c r="P8">
        <v>4</v>
      </c>
    </row>
    <row r="9" spans="1:16" x14ac:dyDescent="0.35">
      <c r="A9" t="s">
        <v>14</v>
      </c>
      <c r="B9">
        <v>11.6</v>
      </c>
      <c r="C9">
        <v>529</v>
      </c>
      <c r="D9">
        <v>68810</v>
      </c>
      <c r="E9">
        <v>95038</v>
      </c>
      <c r="F9">
        <v>0.89200000000000002</v>
      </c>
      <c r="G9">
        <v>19</v>
      </c>
      <c r="H9">
        <v>19</v>
      </c>
      <c r="I9">
        <v>23</v>
      </c>
      <c r="J9">
        <f>(H9+I9)/2</f>
        <v>21</v>
      </c>
      <c r="K9" s="1">
        <v>21920</v>
      </c>
      <c r="L9">
        <v>73522.367170311569</v>
      </c>
      <c r="M9">
        <f>((E9-L9)/L9)*100</f>
        <v>29.264064335480853</v>
      </c>
      <c r="N9">
        <f>LOG(E9)</f>
        <v>4.9778972883473127</v>
      </c>
      <c r="O9">
        <f>LOG(L9)</f>
        <v>4.8664194814092578</v>
      </c>
      <c r="P9">
        <v>4</v>
      </c>
    </row>
    <row r="10" spans="1:16" x14ac:dyDescent="0.35">
      <c r="A10" t="s">
        <v>15</v>
      </c>
      <c r="B10">
        <v>16.5</v>
      </c>
      <c r="C10">
        <v>11131</v>
      </c>
      <c r="D10">
        <v>76540</v>
      </c>
      <c r="E10">
        <v>259954</v>
      </c>
      <c r="F10">
        <v>0.627</v>
      </c>
      <c r="G10">
        <v>33</v>
      </c>
      <c r="H10">
        <v>20</v>
      </c>
      <c r="I10">
        <v>25</v>
      </c>
      <c r="J10">
        <f>(H10+I10)/2</f>
        <v>22.5</v>
      </c>
      <c r="K10" s="1">
        <v>18526</v>
      </c>
      <c r="L10">
        <v>180827.99505125807</v>
      </c>
      <c r="M10">
        <f>((E10-L10)/L10)*100</f>
        <v>43.757607845130742</v>
      </c>
      <c r="N10">
        <f>LOG(E10)</f>
        <v>5.4148965044568929</v>
      </c>
      <c r="O10">
        <f>LOG(L10)</f>
        <v>5.2572656670414464</v>
      </c>
      <c r="P10">
        <v>2</v>
      </c>
    </row>
    <row r="11" spans="1:16" x14ac:dyDescent="0.35">
      <c r="A11" t="s">
        <v>16</v>
      </c>
      <c r="B11">
        <v>13.1</v>
      </c>
      <c r="C11">
        <v>422</v>
      </c>
      <c r="D11">
        <v>63470</v>
      </c>
      <c r="E11">
        <v>70799</v>
      </c>
      <c r="F11">
        <v>0.52500000000000002</v>
      </c>
      <c r="G11">
        <v>50</v>
      </c>
      <c r="H11">
        <v>21</v>
      </c>
      <c r="I11">
        <v>25</v>
      </c>
      <c r="J11">
        <f>(H11+I11)/2</f>
        <v>23</v>
      </c>
      <c r="K11" s="1">
        <v>12065</v>
      </c>
      <c r="L11">
        <v>43322.141566283266</v>
      </c>
      <c r="M11">
        <f>((E11-L11)/L11)*100</f>
        <v>63.424515594818629</v>
      </c>
      <c r="N11">
        <f>LOG(E11)</f>
        <v>4.8500271235435966</v>
      </c>
      <c r="O11">
        <f>LOG(L11)</f>
        <v>4.6367099171922197</v>
      </c>
      <c r="P11">
        <v>1</v>
      </c>
    </row>
    <row r="12" spans="1:16" x14ac:dyDescent="0.35">
      <c r="A12" t="s">
        <v>17</v>
      </c>
      <c r="B12">
        <v>14</v>
      </c>
      <c r="C12">
        <v>192</v>
      </c>
      <c r="D12">
        <v>67520</v>
      </c>
      <c r="E12">
        <v>75420</v>
      </c>
      <c r="F12">
        <v>0.51300000000000001</v>
      </c>
      <c r="G12">
        <v>45</v>
      </c>
      <c r="H12">
        <v>24</v>
      </c>
      <c r="I12">
        <v>31</v>
      </c>
      <c r="J12">
        <f>(H12+I12)/2</f>
        <v>27.5</v>
      </c>
      <c r="K12" s="1">
        <v>14942</v>
      </c>
      <c r="L12">
        <v>48988.214318764665</v>
      </c>
      <c r="M12">
        <f>((E12-L12)/L12)*100</f>
        <v>53.955397331375657</v>
      </c>
      <c r="N12">
        <f>LOG(E12)</f>
        <v>4.8774865280696016</v>
      </c>
      <c r="O12">
        <f>LOG(L12)</f>
        <v>4.6900916091717635</v>
      </c>
      <c r="P12">
        <v>1</v>
      </c>
    </row>
    <row r="13" spans="1:16" x14ac:dyDescent="0.35">
      <c r="A13" t="s">
        <v>18</v>
      </c>
      <c r="B13">
        <v>11.2</v>
      </c>
      <c r="C13">
        <v>223</v>
      </c>
      <c r="D13">
        <v>60790</v>
      </c>
      <c r="E13">
        <v>76833</v>
      </c>
      <c r="F13">
        <v>0.96599999999999997</v>
      </c>
      <c r="G13">
        <v>1</v>
      </c>
      <c r="H13">
        <v>23</v>
      </c>
      <c r="I13">
        <v>29</v>
      </c>
      <c r="J13">
        <f>(H13+I13)/2</f>
        <v>26</v>
      </c>
      <c r="K13" s="1">
        <v>14659</v>
      </c>
      <c r="L13">
        <v>54434.462512408725</v>
      </c>
      <c r="M13">
        <f>((E13-L13)/L13)*100</f>
        <v>41.147714983840189</v>
      </c>
      <c r="N13">
        <f>LOG(E13)</f>
        <v>4.8855477908609979</v>
      </c>
      <c r="O13">
        <f>LOG(L13)</f>
        <v>4.7358739390400642</v>
      </c>
      <c r="P13">
        <v>5</v>
      </c>
    </row>
    <row r="14" spans="1:16" x14ac:dyDescent="0.35">
      <c r="A14" t="s">
        <v>19</v>
      </c>
      <c r="B14">
        <v>11</v>
      </c>
      <c r="C14">
        <v>24</v>
      </c>
      <c r="D14">
        <v>57780</v>
      </c>
      <c r="E14">
        <v>61565</v>
      </c>
      <c r="F14">
        <v>0.499</v>
      </c>
      <c r="G14">
        <v>36</v>
      </c>
      <c r="H14">
        <v>31</v>
      </c>
      <c r="I14">
        <v>32</v>
      </c>
      <c r="J14">
        <f>(H14+I14)/2</f>
        <v>31.5</v>
      </c>
      <c r="K14" s="1">
        <v>11009</v>
      </c>
      <c r="L14">
        <v>39517.09544137901</v>
      </c>
      <c r="M14">
        <f>((E14-L14)/L14)*100</f>
        <v>55.793332764872851</v>
      </c>
      <c r="N14">
        <f>LOG(E14)</f>
        <v>4.7893338838077373</v>
      </c>
      <c r="O14">
        <f>LOG(L14)</f>
        <v>4.5967850158715917</v>
      </c>
      <c r="P14">
        <v>2</v>
      </c>
    </row>
    <row r="15" spans="1:16" x14ac:dyDescent="0.35">
      <c r="A15" t="s">
        <v>20</v>
      </c>
      <c r="B15">
        <v>12.1</v>
      </c>
      <c r="C15">
        <v>226</v>
      </c>
      <c r="D15">
        <v>72480</v>
      </c>
      <c r="E15">
        <v>87520</v>
      </c>
      <c r="F15">
        <v>0.96299999999999997</v>
      </c>
      <c r="G15">
        <v>8</v>
      </c>
      <c r="H15">
        <v>32</v>
      </c>
      <c r="I15">
        <v>33</v>
      </c>
      <c r="J15">
        <f>(H15+I15)/2</f>
        <v>32.5</v>
      </c>
      <c r="K15" s="1">
        <v>20453</v>
      </c>
      <c r="L15">
        <v>59936.840187093738</v>
      </c>
      <c r="M15">
        <f>((E15-L15)/L15)*100</f>
        <v>46.020376994858289</v>
      </c>
      <c r="N15">
        <f>LOG(E15)</f>
        <v>4.9421073089893559</v>
      </c>
      <c r="O15">
        <f>LOG(L15)</f>
        <v>4.7776938436232843</v>
      </c>
      <c r="P15">
        <v>5</v>
      </c>
    </row>
    <row r="16" spans="1:16" x14ac:dyDescent="0.35">
      <c r="A16" t="s">
        <v>21</v>
      </c>
      <c r="B16">
        <v>12.2</v>
      </c>
      <c r="C16">
        <v>192</v>
      </c>
      <c r="D16">
        <v>58690</v>
      </c>
      <c r="E16">
        <v>72791</v>
      </c>
      <c r="F16">
        <v>0.65400000000000003</v>
      </c>
      <c r="G16">
        <v>31</v>
      </c>
      <c r="H16">
        <v>31</v>
      </c>
      <c r="I16">
        <v>33</v>
      </c>
      <c r="J16">
        <f>(H16+I16)/2</f>
        <v>32</v>
      </c>
      <c r="K16" s="1">
        <v>15414</v>
      </c>
      <c r="L16">
        <v>49933.28551661237</v>
      </c>
      <c r="M16">
        <f>((E16-L16)/L16)*100</f>
        <v>45.776508088543601</v>
      </c>
      <c r="N16">
        <f>LOG(E16)</f>
        <v>4.8620776857421149</v>
      </c>
      <c r="O16">
        <f>LOG(L16)</f>
        <v>4.6983901427583117</v>
      </c>
      <c r="P16">
        <v>3</v>
      </c>
    </row>
    <row r="17" spans="1:16" x14ac:dyDescent="0.35">
      <c r="A17" t="s">
        <v>22</v>
      </c>
      <c r="B17">
        <v>11.1</v>
      </c>
      <c r="C17">
        <v>57</v>
      </c>
      <c r="D17">
        <v>60490</v>
      </c>
      <c r="E17">
        <v>79212</v>
      </c>
      <c r="F17">
        <v>0.71</v>
      </c>
      <c r="G17">
        <v>27</v>
      </c>
      <c r="H17">
        <v>27</v>
      </c>
      <c r="I17">
        <v>31</v>
      </c>
      <c r="J17">
        <f>(H17+I17)/2</f>
        <v>29</v>
      </c>
      <c r="K17" s="1">
        <v>15022</v>
      </c>
      <c r="L17">
        <v>55851.539376264009</v>
      </c>
      <c r="M17">
        <f>((E17-L17)/L17)*100</f>
        <v>41.825992416000993</v>
      </c>
      <c r="N17">
        <f>LOG(E17)</f>
        <v>4.8987909787992097</v>
      </c>
      <c r="O17">
        <f>LOG(L17)</f>
        <v>4.7470351476110508</v>
      </c>
      <c r="P17">
        <v>3</v>
      </c>
    </row>
    <row r="18" spans="1:16" x14ac:dyDescent="0.35">
      <c r="A18" t="s">
        <v>23</v>
      </c>
      <c r="B18">
        <v>11.7</v>
      </c>
      <c r="C18">
        <v>36</v>
      </c>
      <c r="D18">
        <v>56590</v>
      </c>
      <c r="E18">
        <v>77616</v>
      </c>
      <c r="F18">
        <v>0.51200000000000001</v>
      </c>
      <c r="G18">
        <v>32</v>
      </c>
      <c r="H18">
        <v>26</v>
      </c>
      <c r="I18">
        <v>25</v>
      </c>
      <c r="J18">
        <f>(H18+I18)/2</f>
        <v>25.5</v>
      </c>
      <c r="K18" s="1">
        <v>17261</v>
      </c>
      <c r="L18">
        <v>51786.112429230758</v>
      </c>
      <c r="M18">
        <f>((E18-L18)/L18)*100</f>
        <v>49.878020108320619</v>
      </c>
      <c r="N18">
        <f>LOG(E18)</f>
        <v>4.8899512572819885</v>
      </c>
      <c r="O18">
        <f>LOG(L18)</f>
        <v>4.7142133098612318</v>
      </c>
      <c r="P18">
        <v>2</v>
      </c>
    </row>
    <row r="19" spans="1:16" x14ac:dyDescent="0.35">
      <c r="A19" t="s">
        <v>24</v>
      </c>
      <c r="B19">
        <v>16.5</v>
      </c>
      <c r="C19">
        <v>115</v>
      </c>
      <c r="D19">
        <v>58160</v>
      </c>
      <c r="E19">
        <v>61798</v>
      </c>
      <c r="F19">
        <v>0.56699999999999995</v>
      </c>
      <c r="G19">
        <v>28</v>
      </c>
      <c r="H19">
        <v>24</v>
      </c>
      <c r="I19">
        <v>29</v>
      </c>
      <c r="J19">
        <f>(H19+I19)/2</f>
        <v>26.5</v>
      </c>
      <c r="K19" s="1">
        <v>14943</v>
      </c>
      <c r="L19">
        <v>42636.798979939289</v>
      </c>
      <c r="M19">
        <f>((E19-L19)/L19)*100</f>
        <v>44.940524332223205</v>
      </c>
      <c r="N19">
        <f>LOG(E19)</f>
        <v>4.790974420023784</v>
      </c>
      <c r="O19">
        <f>LOG(L19)</f>
        <v>4.6297845919488019</v>
      </c>
      <c r="P19">
        <v>3</v>
      </c>
    </row>
    <row r="20" spans="1:16" x14ac:dyDescent="0.35">
      <c r="A20" t="s">
        <v>25</v>
      </c>
      <c r="B20">
        <v>19.600000000000001</v>
      </c>
      <c r="C20">
        <v>106</v>
      </c>
      <c r="D20">
        <v>54300</v>
      </c>
      <c r="E20">
        <v>68869</v>
      </c>
      <c r="F20">
        <v>0.51600000000000001</v>
      </c>
      <c r="G20">
        <v>42</v>
      </c>
      <c r="H20">
        <v>21</v>
      </c>
      <c r="I20">
        <v>27</v>
      </c>
      <c r="J20">
        <f>(H20+I20)/2</f>
        <v>24</v>
      </c>
      <c r="K20" s="1">
        <v>16411</v>
      </c>
      <c r="L20">
        <v>51865.737338724706</v>
      </c>
      <c r="M20">
        <f>((E20-L20)/L20)*100</f>
        <v>32.783227490299431</v>
      </c>
      <c r="N20">
        <f>LOG(E20)</f>
        <v>4.838023776935735</v>
      </c>
      <c r="O20">
        <f>LOG(L20)</f>
        <v>4.7148805563347871</v>
      </c>
      <c r="P20">
        <v>1</v>
      </c>
    </row>
    <row r="21" spans="1:16" x14ac:dyDescent="0.35">
      <c r="A21" t="s">
        <v>26</v>
      </c>
      <c r="B21">
        <v>11.5</v>
      </c>
      <c r="C21">
        <v>45</v>
      </c>
      <c r="D21">
        <v>59260</v>
      </c>
      <c r="E21">
        <v>66826</v>
      </c>
      <c r="F21">
        <v>0.77600000000000002</v>
      </c>
      <c r="G21">
        <v>22</v>
      </c>
      <c r="H21">
        <v>25</v>
      </c>
      <c r="I21">
        <v>26</v>
      </c>
      <c r="J21">
        <f>(H21+I21)/2</f>
        <v>25.5</v>
      </c>
      <c r="K21" s="1">
        <v>20433</v>
      </c>
      <c r="L21">
        <v>42470.461239602562</v>
      </c>
      <c r="M21">
        <f>((E21-L21)/L21)*100</f>
        <v>57.347007895658443</v>
      </c>
      <c r="N21">
        <f>LOG(E21)</f>
        <v>4.8249454663620943</v>
      </c>
      <c r="O21">
        <f>LOG(L21)</f>
        <v>4.6280869775606464</v>
      </c>
      <c r="P21">
        <v>3</v>
      </c>
    </row>
    <row r="22" spans="1:16" x14ac:dyDescent="0.35">
      <c r="A22" t="s">
        <v>27</v>
      </c>
      <c r="B22">
        <v>10.3</v>
      </c>
      <c r="C22">
        <v>637</v>
      </c>
      <c r="D22">
        <v>73730</v>
      </c>
      <c r="E22">
        <v>83428</v>
      </c>
      <c r="F22">
        <v>0.94199999999999995</v>
      </c>
      <c r="G22">
        <v>23</v>
      </c>
      <c r="H22">
        <v>25</v>
      </c>
      <c r="I22">
        <v>33</v>
      </c>
      <c r="J22">
        <f>(H22+I22)/2</f>
        <v>29</v>
      </c>
      <c r="K22" s="1">
        <v>16929</v>
      </c>
      <c r="L22">
        <v>59016.664921718962</v>
      </c>
      <c r="M22">
        <f>((E22-L22)/L22)*100</f>
        <v>41.363460830361703</v>
      </c>
      <c r="N22">
        <f>LOG(E22)</f>
        <v>4.9213118324682164</v>
      </c>
      <c r="O22">
        <f>LOG(L22)</f>
        <v>4.7709746635336678</v>
      </c>
      <c r="P22">
        <v>3</v>
      </c>
    </row>
    <row r="23" spans="1:16" x14ac:dyDescent="0.35">
      <c r="A23" t="s">
        <v>28</v>
      </c>
      <c r="B23">
        <v>10.4</v>
      </c>
      <c r="C23">
        <v>898</v>
      </c>
      <c r="D23">
        <v>82960</v>
      </c>
      <c r="E23">
        <v>105164</v>
      </c>
      <c r="F23">
        <v>0.92500000000000004</v>
      </c>
      <c r="G23">
        <v>21</v>
      </c>
      <c r="H23">
        <v>37</v>
      </c>
      <c r="I23">
        <v>40</v>
      </c>
      <c r="J23">
        <f>(H23+I23)/2</f>
        <v>38.5</v>
      </c>
      <c r="K23" s="1">
        <v>18340</v>
      </c>
      <c r="L23">
        <v>69450.753185873356</v>
      </c>
      <c r="M23">
        <f>((E23-L23)/L23)*100</f>
        <v>51.422403898984506</v>
      </c>
      <c r="N23">
        <f>LOG(E23)</f>
        <v>5.0218670964994612</v>
      </c>
      <c r="O23">
        <f>LOG(L23)</f>
        <v>4.8416769599756488</v>
      </c>
      <c r="P23">
        <v>3</v>
      </c>
    </row>
    <row r="24" spans="1:16" x14ac:dyDescent="0.35">
      <c r="A24" t="s">
        <v>29</v>
      </c>
      <c r="B24">
        <v>13.1</v>
      </c>
      <c r="C24">
        <v>178</v>
      </c>
      <c r="D24">
        <v>66840</v>
      </c>
      <c r="E24">
        <v>67132</v>
      </c>
      <c r="F24">
        <v>0.84699999999999998</v>
      </c>
      <c r="G24">
        <v>16</v>
      </c>
      <c r="H24">
        <v>24</v>
      </c>
      <c r="I24">
        <v>24</v>
      </c>
      <c r="J24">
        <f>(H24+I24)/2</f>
        <v>24</v>
      </c>
      <c r="K24" s="1">
        <v>17863</v>
      </c>
      <c r="L24">
        <v>45924.484946838173</v>
      </c>
      <c r="M24">
        <f>((E24-L24)/L24)*100</f>
        <v>46.179102667588943</v>
      </c>
      <c r="N24">
        <f>LOG(E24)</f>
        <v>4.8269295859012198</v>
      </c>
      <c r="O24">
        <f>LOG(L24)</f>
        <v>4.6620442942973801</v>
      </c>
      <c r="P24">
        <v>4</v>
      </c>
    </row>
    <row r="25" spans="1:16" x14ac:dyDescent="0.35">
      <c r="A25" t="s">
        <v>30</v>
      </c>
      <c r="B25">
        <v>9.3000000000000007</v>
      </c>
      <c r="C25">
        <v>72</v>
      </c>
      <c r="D25">
        <v>64500</v>
      </c>
      <c r="E25">
        <v>84205</v>
      </c>
      <c r="F25">
        <v>0.92500000000000004</v>
      </c>
      <c r="G25">
        <v>14</v>
      </c>
      <c r="H25">
        <v>34</v>
      </c>
      <c r="I25">
        <v>28</v>
      </c>
      <c r="J25">
        <f>(H25+I25)/2</f>
        <v>31</v>
      </c>
      <c r="K25" s="1">
        <v>16633</v>
      </c>
      <c r="L25">
        <v>59549.137898623885</v>
      </c>
      <c r="M25">
        <f>((E25-L25)/L25)*100</f>
        <v>41.404230139066186</v>
      </c>
      <c r="N25">
        <f>LOG(E25)</f>
        <v>4.9253378801925045</v>
      </c>
      <c r="O25">
        <f>LOG(L25)</f>
        <v>4.7748754785210528</v>
      </c>
      <c r="P25">
        <v>4</v>
      </c>
    </row>
    <row r="26" spans="1:16" x14ac:dyDescent="0.35">
      <c r="A26" t="s">
        <v>31</v>
      </c>
      <c r="B26">
        <v>19.399999999999999</v>
      </c>
      <c r="C26">
        <v>63</v>
      </c>
      <c r="D26">
        <v>49770</v>
      </c>
      <c r="E26">
        <v>51416</v>
      </c>
      <c r="F26">
        <v>0.33900000000000002</v>
      </c>
      <c r="G26">
        <v>46</v>
      </c>
      <c r="H26">
        <v>22</v>
      </c>
      <c r="I26">
        <v>23</v>
      </c>
      <c r="J26">
        <f>(H26+I26)/2</f>
        <v>22.5</v>
      </c>
      <c r="K26" s="1">
        <v>12252</v>
      </c>
      <c r="L26">
        <v>35168.214628068126</v>
      </c>
      <c r="M26">
        <f>((E26-L26)/L26)*100</f>
        <v>46.200199651205331</v>
      </c>
      <c r="N26">
        <f>LOG(E26)</f>
        <v>4.7110982869023434</v>
      </c>
      <c r="O26">
        <f>LOG(L26)</f>
        <v>4.5461503212069205</v>
      </c>
      <c r="P26">
        <v>1</v>
      </c>
    </row>
    <row r="27" spans="1:16" x14ac:dyDescent="0.35">
      <c r="A27" t="s">
        <v>32</v>
      </c>
      <c r="B27">
        <v>12.7</v>
      </c>
      <c r="C27">
        <v>90</v>
      </c>
      <c r="D27">
        <v>56270</v>
      </c>
      <c r="E27">
        <v>69416</v>
      </c>
      <c r="F27">
        <v>0.74099999999999999</v>
      </c>
      <c r="G27">
        <v>38</v>
      </c>
      <c r="H27">
        <v>23</v>
      </c>
      <c r="I27">
        <v>26</v>
      </c>
      <c r="J27">
        <f>(H27+I27)/2</f>
        <v>24.5</v>
      </c>
      <c r="K27" s="1">
        <v>15543</v>
      </c>
      <c r="L27">
        <v>47752.845705571592</v>
      </c>
      <c r="M27">
        <f>((E27-L27)/L27)*100</f>
        <v>45.365158817960975</v>
      </c>
      <c r="N27">
        <f>LOG(E27)</f>
        <v>4.8414595844437498</v>
      </c>
      <c r="O27">
        <f>LOG(L27)</f>
        <v>4.6789992573313208</v>
      </c>
      <c r="P27">
        <v>2</v>
      </c>
    </row>
    <row r="28" spans="1:16" x14ac:dyDescent="0.35">
      <c r="A28" t="s">
        <v>33</v>
      </c>
      <c r="B28">
        <v>11.9</v>
      </c>
      <c r="C28">
        <v>7.8</v>
      </c>
      <c r="D28">
        <v>54630</v>
      </c>
      <c r="E28">
        <v>64666</v>
      </c>
      <c r="F28">
        <v>0.86299999999999999</v>
      </c>
      <c r="G28">
        <v>3</v>
      </c>
      <c r="H28">
        <v>32</v>
      </c>
      <c r="I28">
        <v>31</v>
      </c>
      <c r="J28">
        <f>(H28+I28)/2</f>
        <v>31.5</v>
      </c>
      <c r="K28" s="1">
        <v>15431</v>
      </c>
      <c r="L28">
        <v>44202.308300828139</v>
      </c>
      <c r="M28">
        <f>((E28-L28)/L28)*100</f>
        <v>46.295527283104512</v>
      </c>
      <c r="N28">
        <f>LOG(E28)</f>
        <v>4.8106759979247844</v>
      </c>
      <c r="O28">
        <f>LOG(L28)</f>
        <v>4.6454449493521759</v>
      </c>
      <c r="P28">
        <v>5</v>
      </c>
    </row>
    <row r="29" spans="1:16" x14ac:dyDescent="0.35">
      <c r="A29" t="s">
        <v>34</v>
      </c>
      <c r="B29">
        <v>10.8</v>
      </c>
      <c r="C29">
        <v>26</v>
      </c>
      <c r="D29">
        <v>60250</v>
      </c>
      <c r="E29">
        <v>91633</v>
      </c>
      <c r="F29">
        <v>0.77</v>
      </c>
      <c r="G29">
        <v>26</v>
      </c>
      <c r="H29">
        <v>32</v>
      </c>
      <c r="I29">
        <v>27</v>
      </c>
      <c r="J29">
        <f>(H29+I29)/2</f>
        <v>29.5</v>
      </c>
      <c r="K29" s="1">
        <v>16994</v>
      </c>
      <c r="L29">
        <v>59981.914460718472</v>
      </c>
      <c r="M29">
        <f>((E29-L29)/L29)*100</f>
        <v>52.767714775108573</v>
      </c>
      <c r="N29">
        <f>LOG(E29)</f>
        <v>4.9620519052937881</v>
      </c>
      <c r="O29">
        <f>LOG(L29)</f>
        <v>4.7780203231517024</v>
      </c>
      <c r="P29">
        <v>3</v>
      </c>
    </row>
    <row r="30" spans="1:16" x14ac:dyDescent="0.35">
      <c r="A30" t="s">
        <v>35</v>
      </c>
      <c r="B30">
        <v>14.1</v>
      </c>
      <c r="C30">
        <v>29</v>
      </c>
      <c r="D30">
        <v>66620</v>
      </c>
      <c r="E30">
        <v>77009</v>
      </c>
      <c r="F30">
        <v>0.57599999999999996</v>
      </c>
      <c r="G30">
        <v>25</v>
      </c>
      <c r="H30">
        <v>20</v>
      </c>
      <c r="I30">
        <v>26</v>
      </c>
      <c r="J30">
        <f>(H30+I30)/2</f>
        <v>23</v>
      </c>
      <c r="K30" s="1">
        <v>12552</v>
      </c>
      <c r="L30">
        <v>48570.967404356612</v>
      </c>
      <c r="M30">
        <f>((E30-L30)/L30)*100</f>
        <v>58.549446542612237</v>
      </c>
      <c r="N30">
        <f>LOG(E30)</f>
        <v>4.8865414838988102</v>
      </c>
      <c r="O30">
        <f>LOG(L30)</f>
        <v>4.6863767535490046</v>
      </c>
      <c r="P30">
        <v>3</v>
      </c>
    </row>
    <row r="31" spans="1:16" x14ac:dyDescent="0.35">
      <c r="A31" t="s">
        <v>36</v>
      </c>
      <c r="B31">
        <v>7.2</v>
      </c>
      <c r="C31">
        <v>157</v>
      </c>
      <c r="D31">
        <v>68250</v>
      </c>
      <c r="E31">
        <v>81381</v>
      </c>
      <c r="F31">
        <v>0.84099999999999997</v>
      </c>
      <c r="G31">
        <v>30</v>
      </c>
      <c r="H31">
        <v>32</v>
      </c>
      <c r="I31">
        <v>34</v>
      </c>
      <c r="J31">
        <f>(H31+I31)/2</f>
        <v>33</v>
      </c>
      <c r="K31" s="1">
        <v>20745</v>
      </c>
      <c r="L31">
        <v>55053.186904771719</v>
      </c>
      <c r="M31">
        <f>((E31-L31)/L31)*100</f>
        <v>47.822505063637514</v>
      </c>
      <c r="N31">
        <f>LOG(E31)</f>
        <v>4.9105230221087339</v>
      </c>
      <c r="O31">
        <f>LOG(L31)</f>
        <v>4.7407824643631029</v>
      </c>
      <c r="P31">
        <v>3</v>
      </c>
    </row>
    <row r="32" spans="1:16" x14ac:dyDescent="0.35">
      <c r="A32" t="s">
        <v>37</v>
      </c>
      <c r="B32">
        <v>10.199999999999999</v>
      </c>
      <c r="C32">
        <v>1263</v>
      </c>
      <c r="D32">
        <v>79460</v>
      </c>
      <c r="E32">
        <v>86824</v>
      </c>
      <c r="F32">
        <v>0.95699999999999996</v>
      </c>
      <c r="G32">
        <v>7</v>
      </c>
      <c r="H32">
        <v>37</v>
      </c>
      <c r="I32">
        <v>38</v>
      </c>
      <c r="J32">
        <f>(H32+I32)/2</f>
        <v>37.5</v>
      </c>
      <c r="K32" s="1">
        <v>23496</v>
      </c>
      <c r="L32">
        <v>61329.323534158233</v>
      </c>
      <c r="M32">
        <f>((E32-L32)/L32)*100</f>
        <v>41.570125017997547</v>
      </c>
      <c r="N32">
        <f>LOG(E32)</f>
        <v>4.9386397900020009</v>
      </c>
      <c r="O32">
        <f>LOG(L32)</f>
        <v>4.7876681744216771</v>
      </c>
      <c r="P32">
        <v>5</v>
      </c>
    </row>
    <row r="33" spans="1:16" x14ac:dyDescent="0.35">
      <c r="A33" t="s">
        <v>38</v>
      </c>
      <c r="B33">
        <v>18.399999999999999</v>
      </c>
      <c r="C33">
        <v>17</v>
      </c>
      <c r="D33">
        <v>62500</v>
      </c>
      <c r="E33">
        <v>63853</v>
      </c>
      <c r="F33">
        <v>0.434</v>
      </c>
      <c r="G33">
        <v>37</v>
      </c>
      <c r="H33">
        <v>14</v>
      </c>
      <c r="I33">
        <v>19</v>
      </c>
      <c r="J33">
        <f>(H33+I33)/2</f>
        <v>16.5</v>
      </c>
      <c r="K33" s="1">
        <v>16318</v>
      </c>
      <c r="L33">
        <v>44264.571081925686</v>
      </c>
      <c r="M33">
        <f>((E33-L33)/L33)*100</f>
        <v>44.253063882217873</v>
      </c>
      <c r="N33">
        <f>LOG(E33)</f>
        <v>4.805181306499021</v>
      </c>
      <c r="O33">
        <f>LOG(L33)</f>
        <v>4.6460562603176339</v>
      </c>
      <c r="P33">
        <v>2</v>
      </c>
    </row>
    <row r="34" spans="1:16" x14ac:dyDescent="0.35">
      <c r="A34" t="s">
        <v>39</v>
      </c>
      <c r="B34">
        <v>13.9</v>
      </c>
      <c r="C34">
        <v>415</v>
      </c>
      <c r="D34">
        <v>91290</v>
      </c>
      <c r="E34">
        <v>110980</v>
      </c>
      <c r="F34">
        <v>0.97399999999999998</v>
      </c>
      <c r="G34">
        <v>9</v>
      </c>
      <c r="H34">
        <v>26</v>
      </c>
      <c r="I34">
        <v>31</v>
      </c>
      <c r="J34">
        <f>(H34+I34)/2</f>
        <v>28.5</v>
      </c>
      <c r="K34" s="1">
        <v>29425</v>
      </c>
      <c r="L34">
        <v>72995.208826387621</v>
      </c>
      <c r="M34">
        <f>((E34-L34)/L34)*100</f>
        <v>52.037375855661573</v>
      </c>
      <c r="N34">
        <f>LOG(E34)</f>
        <v>5.0452447204781468</v>
      </c>
      <c r="O34">
        <f>LOG(L34)</f>
        <v>4.8632943553458245</v>
      </c>
      <c r="P34">
        <v>5</v>
      </c>
    </row>
    <row r="35" spans="1:16" x14ac:dyDescent="0.35">
      <c r="A35" t="s">
        <v>40</v>
      </c>
      <c r="B35">
        <v>13.4</v>
      </c>
      <c r="C35">
        <v>223</v>
      </c>
      <c r="D35">
        <v>51570</v>
      </c>
      <c r="E35">
        <v>72734</v>
      </c>
      <c r="F35">
        <v>0.19900000000000001</v>
      </c>
      <c r="G35">
        <v>40</v>
      </c>
      <c r="H35">
        <v>31</v>
      </c>
      <c r="I35">
        <v>27</v>
      </c>
      <c r="J35">
        <f>(H35+I35)/2</f>
        <v>29</v>
      </c>
      <c r="K35" s="1">
        <v>11777</v>
      </c>
      <c r="L35">
        <v>48533.901831434006</v>
      </c>
      <c r="M35">
        <f>((E35-L35)/L35)*100</f>
        <v>49.862255568523629</v>
      </c>
      <c r="N35">
        <f>LOG(E35)</f>
        <v>4.8617374722154434</v>
      </c>
      <c r="O35">
        <f>LOG(L35)</f>
        <v>4.6860452073619321</v>
      </c>
      <c r="P35">
        <v>2</v>
      </c>
    </row>
    <row r="36" spans="1:16" x14ac:dyDescent="0.35">
      <c r="A36" t="s">
        <v>41</v>
      </c>
      <c r="B36">
        <v>11.1</v>
      </c>
      <c r="C36">
        <v>11</v>
      </c>
      <c r="D36">
        <v>56510</v>
      </c>
      <c r="E36">
        <v>97003</v>
      </c>
      <c r="F36">
        <v>0.73599999999999999</v>
      </c>
      <c r="G36">
        <v>24</v>
      </c>
      <c r="H36">
        <v>29</v>
      </c>
      <c r="I36">
        <v>25</v>
      </c>
      <c r="J36">
        <f>(H36+I36)/2</f>
        <v>27</v>
      </c>
      <c r="K36" s="1">
        <v>17534</v>
      </c>
      <c r="L36">
        <v>82720.07862077927</v>
      </c>
      <c r="M36">
        <f>((E36-L36)/L36)*100</f>
        <v>17.26657132991755</v>
      </c>
      <c r="N36">
        <f>LOG(E36)</f>
        <v>4.9867851658466416</v>
      </c>
      <c r="O36">
        <f>LOG(L36)</f>
        <v>4.9176109385225262</v>
      </c>
      <c r="P36">
        <v>3</v>
      </c>
    </row>
    <row r="37" spans="1:16" x14ac:dyDescent="0.35">
      <c r="A37" t="s">
        <v>42</v>
      </c>
      <c r="B37">
        <v>13.4</v>
      </c>
      <c r="C37">
        <v>288</v>
      </c>
      <c r="D37">
        <v>70320</v>
      </c>
      <c r="E37">
        <v>75075</v>
      </c>
      <c r="F37">
        <v>0.91700000000000004</v>
      </c>
      <c r="G37">
        <v>12</v>
      </c>
      <c r="H37">
        <v>32</v>
      </c>
      <c r="I37">
        <v>32</v>
      </c>
      <c r="J37">
        <f>(H37+I37)/2</f>
        <v>32</v>
      </c>
      <c r="K37" s="1">
        <v>18188</v>
      </c>
      <c r="L37">
        <v>51449.493317278066</v>
      </c>
      <c r="M37">
        <f>((E37-L37)/L37)*100</f>
        <v>45.919804374026519</v>
      </c>
      <c r="N37">
        <f>LOG(E37)</f>
        <v>4.8754953408710184</v>
      </c>
      <c r="O37">
        <f>LOG(L37)</f>
        <v>4.7113811021189811</v>
      </c>
      <c r="P37">
        <v>4</v>
      </c>
    </row>
    <row r="38" spans="1:16" x14ac:dyDescent="0.35">
      <c r="A38" t="s">
        <v>43</v>
      </c>
      <c r="B38">
        <v>15.6</v>
      </c>
      <c r="C38">
        <v>59</v>
      </c>
      <c r="D38">
        <v>54810</v>
      </c>
      <c r="E38">
        <v>63320</v>
      </c>
      <c r="F38">
        <v>0.59399999999999997</v>
      </c>
      <c r="G38">
        <v>43</v>
      </c>
      <c r="H38">
        <v>17</v>
      </c>
      <c r="I38">
        <v>20</v>
      </c>
      <c r="J38">
        <f>(H38+I38)/2</f>
        <v>18.5</v>
      </c>
      <c r="K38" s="1">
        <v>12646</v>
      </c>
      <c r="L38">
        <v>50802.938863220566</v>
      </c>
      <c r="M38">
        <f>((E38-L38)/L38)*100</f>
        <v>24.638458752317021</v>
      </c>
      <c r="N38">
        <f>LOG(E38)</f>
        <v>4.8015409061903185</v>
      </c>
      <c r="O38">
        <f>LOG(L38)</f>
        <v>4.7058888362044353</v>
      </c>
      <c r="P38">
        <v>1</v>
      </c>
    </row>
    <row r="39" spans="1:16" x14ac:dyDescent="0.35">
      <c r="A39" t="s">
        <v>44</v>
      </c>
      <c r="B39">
        <v>12.2</v>
      </c>
      <c r="C39">
        <v>44</v>
      </c>
      <c r="D39">
        <v>79780</v>
      </c>
      <c r="E39">
        <v>75327</v>
      </c>
      <c r="F39">
        <v>0.93100000000000005</v>
      </c>
      <c r="G39">
        <v>2</v>
      </c>
      <c r="H39">
        <v>24</v>
      </c>
      <c r="I39">
        <v>27</v>
      </c>
      <c r="J39">
        <f>(H39+I39)/2</f>
        <v>25.5</v>
      </c>
      <c r="K39" s="1">
        <v>17057</v>
      </c>
      <c r="L39">
        <v>47368.581650441927</v>
      </c>
      <c r="M39">
        <f>((E39-L39)/L39)*100</f>
        <v>59.023127514938444</v>
      </c>
      <c r="N39">
        <f>LOG(E39)</f>
        <v>4.8769506714098858</v>
      </c>
      <c r="O39">
        <f>LOG(L39)</f>
        <v>4.6754903809152379</v>
      </c>
      <c r="P39">
        <v>5</v>
      </c>
    </row>
    <row r="40" spans="1:16" x14ac:dyDescent="0.35">
      <c r="A40" t="s">
        <v>45</v>
      </c>
      <c r="B40">
        <v>12.1</v>
      </c>
      <c r="C40">
        <v>290</v>
      </c>
      <c r="D40">
        <v>73810</v>
      </c>
      <c r="E40">
        <v>75327</v>
      </c>
      <c r="F40">
        <v>0.92200000000000004</v>
      </c>
      <c r="G40">
        <v>4</v>
      </c>
      <c r="H40">
        <v>31</v>
      </c>
      <c r="I40">
        <v>31</v>
      </c>
      <c r="J40">
        <f>(H40+I40)/2</f>
        <v>31</v>
      </c>
      <c r="K40" s="1">
        <v>20839</v>
      </c>
      <c r="L40">
        <v>54371.895420340465</v>
      </c>
      <c r="M40">
        <f>((E40-L40)/L40)*100</f>
        <v>38.540323852348642</v>
      </c>
      <c r="N40">
        <f>LOG(E40)</f>
        <v>4.8769506714098858</v>
      </c>
      <c r="O40">
        <f>LOG(L40)</f>
        <v>4.7353744728995695</v>
      </c>
      <c r="P40">
        <v>5</v>
      </c>
    </row>
    <row r="41" spans="1:16" x14ac:dyDescent="0.35">
      <c r="A41" t="s">
        <v>46</v>
      </c>
      <c r="B41">
        <v>11.4</v>
      </c>
      <c r="C41">
        <v>1060</v>
      </c>
      <c r="D41">
        <v>74640</v>
      </c>
      <c r="E41">
        <v>70782</v>
      </c>
      <c r="F41">
        <v>0.88900000000000001</v>
      </c>
      <c r="G41">
        <v>5</v>
      </c>
      <c r="H41">
        <v>26</v>
      </c>
      <c r="I41">
        <v>30</v>
      </c>
      <c r="J41">
        <f>(H41+I41)/2</f>
        <v>28</v>
      </c>
      <c r="K41" s="1">
        <v>18432</v>
      </c>
      <c r="L41">
        <v>51691.369043956947</v>
      </c>
      <c r="M41">
        <f>((E41-L41)/L41)*100</f>
        <v>36.931950747539489</v>
      </c>
      <c r="N41">
        <f>LOG(E41)</f>
        <v>4.8499228298003993</v>
      </c>
      <c r="O41">
        <f>LOG(L41)</f>
        <v>4.7134180345929639</v>
      </c>
      <c r="P41">
        <v>5</v>
      </c>
    </row>
    <row r="42" spans="1:16" x14ac:dyDescent="0.35">
      <c r="A42" t="s">
        <v>47</v>
      </c>
      <c r="B42">
        <v>14.6</v>
      </c>
      <c r="C42">
        <v>179</v>
      </c>
      <c r="D42">
        <v>55680</v>
      </c>
      <c r="E42">
        <v>60932</v>
      </c>
      <c r="F42">
        <v>0.23</v>
      </c>
      <c r="G42">
        <v>49</v>
      </c>
      <c r="H42">
        <v>24</v>
      </c>
      <c r="I42">
        <v>26</v>
      </c>
      <c r="J42">
        <f>(H42+I42)/2</f>
        <v>25</v>
      </c>
      <c r="K42" s="1">
        <v>16349</v>
      </c>
      <c r="L42">
        <v>40553.171441960796</v>
      </c>
      <c r="M42">
        <f>((E42-L42)/L42)*100</f>
        <v>50.252120446868467</v>
      </c>
      <c r="N42">
        <f>LOG(E42)</f>
        <v>4.784845433412646</v>
      </c>
      <c r="O42">
        <f>LOG(L42)</f>
        <v>4.6080248236738024</v>
      </c>
      <c r="P42">
        <v>1</v>
      </c>
    </row>
    <row r="43" spans="1:16" x14ac:dyDescent="0.35">
      <c r="A43" t="s">
        <v>48</v>
      </c>
      <c r="B43">
        <v>12.3</v>
      </c>
      <c r="C43">
        <v>12</v>
      </c>
      <c r="D43">
        <v>49190</v>
      </c>
      <c r="E43">
        <v>80531</v>
      </c>
      <c r="F43">
        <v>0.41799999999999998</v>
      </c>
      <c r="G43">
        <v>34</v>
      </c>
      <c r="H43">
        <v>33</v>
      </c>
      <c r="I43">
        <v>29</v>
      </c>
      <c r="J43">
        <f>(H43+I43)/2</f>
        <v>31</v>
      </c>
      <c r="K43" s="1">
        <v>13764</v>
      </c>
      <c r="L43">
        <v>55503.783821954406</v>
      </c>
      <c r="M43">
        <f>((E43-L43)/L43)*100</f>
        <v>45.091009035218477</v>
      </c>
      <c r="N43">
        <f>LOG(E43)</f>
        <v>4.905963092011655</v>
      </c>
      <c r="O43">
        <f>LOG(L43)</f>
        <v>4.7443225909961981</v>
      </c>
      <c r="P43">
        <v>2</v>
      </c>
    </row>
    <row r="44" spans="1:16" x14ac:dyDescent="0.35">
      <c r="A44" t="s">
        <v>49</v>
      </c>
      <c r="B44">
        <v>13.6</v>
      </c>
      <c r="C44">
        <v>173</v>
      </c>
      <c r="D44">
        <v>55920</v>
      </c>
      <c r="E44">
        <v>73393</v>
      </c>
      <c r="F44">
        <v>0.435</v>
      </c>
      <c r="G44">
        <v>41</v>
      </c>
      <c r="H44">
        <v>31</v>
      </c>
      <c r="I44">
        <v>31</v>
      </c>
      <c r="J44">
        <f>(H44+I44)/2</f>
        <v>31</v>
      </c>
      <c r="K44" s="1">
        <v>12728</v>
      </c>
      <c r="L44">
        <v>46977.309749371125</v>
      </c>
      <c r="M44">
        <f>((E44-L44)/L44)*100</f>
        <v>56.230742866203606</v>
      </c>
      <c r="N44">
        <f>LOG(E44)</f>
        <v>4.8656546402111029</v>
      </c>
      <c r="O44">
        <f>LOG(L44)</f>
        <v>4.6718881424020662</v>
      </c>
      <c r="P44">
        <v>2</v>
      </c>
    </row>
    <row r="45" spans="1:16" x14ac:dyDescent="0.35">
      <c r="A45" t="s">
        <v>50</v>
      </c>
      <c r="B45">
        <v>14.2</v>
      </c>
      <c r="C45">
        <v>117</v>
      </c>
      <c r="D45">
        <v>61210</v>
      </c>
      <c r="E45">
        <v>84708</v>
      </c>
      <c r="F45">
        <v>0.51400000000000001</v>
      </c>
      <c r="G45">
        <v>44</v>
      </c>
      <c r="H45">
        <v>24</v>
      </c>
      <c r="I45">
        <v>25</v>
      </c>
      <c r="J45">
        <f>(H45+I45)/2</f>
        <v>24.5</v>
      </c>
      <c r="K45" s="1">
        <v>12873</v>
      </c>
      <c r="L45">
        <v>59050.260259468756</v>
      </c>
      <c r="M45">
        <f>((E45-L45)/L45)*100</f>
        <v>43.450680196480604</v>
      </c>
      <c r="N45">
        <f>LOG(E45)</f>
        <v>4.9279244279433083</v>
      </c>
      <c r="O45">
        <f>LOG(L45)</f>
        <v>4.7712218160731927</v>
      </c>
      <c r="P45">
        <v>1</v>
      </c>
    </row>
    <row r="46" spans="1:16" x14ac:dyDescent="0.35">
      <c r="A46" t="s">
        <v>51</v>
      </c>
      <c r="B46">
        <v>8.6</v>
      </c>
      <c r="C46">
        <v>42</v>
      </c>
      <c r="D46">
        <v>66290</v>
      </c>
      <c r="E46">
        <v>82315</v>
      </c>
      <c r="F46">
        <v>0.46899999999999997</v>
      </c>
      <c r="G46">
        <v>39</v>
      </c>
      <c r="H46">
        <v>35</v>
      </c>
      <c r="I46">
        <v>31</v>
      </c>
      <c r="J46">
        <f>(H46+I46)/2</f>
        <v>33</v>
      </c>
      <c r="K46" s="1">
        <v>11017</v>
      </c>
      <c r="L46">
        <v>48540.444953880215</v>
      </c>
      <c r="M46">
        <f>((E46-L46)/L46)*100</f>
        <v>69.580233716872684</v>
      </c>
      <c r="N46">
        <f>LOG(E46)</f>
        <v>4.9154789825226191</v>
      </c>
      <c r="O46">
        <f>LOG(L46)</f>
        <v>4.6861037530451366</v>
      </c>
      <c r="P46">
        <v>2</v>
      </c>
    </row>
    <row r="47" spans="1:16" x14ac:dyDescent="0.35">
      <c r="A47" t="s">
        <v>52</v>
      </c>
      <c r="B47">
        <v>10.3</v>
      </c>
      <c r="C47">
        <v>70</v>
      </c>
      <c r="D47">
        <v>62320</v>
      </c>
      <c r="E47">
        <v>67237</v>
      </c>
      <c r="F47">
        <v>0.93600000000000005</v>
      </c>
      <c r="G47">
        <v>11</v>
      </c>
      <c r="H47">
        <v>29</v>
      </c>
      <c r="I47">
        <v>29</v>
      </c>
      <c r="J47">
        <f>(H47+I47)/2</f>
        <v>29</v>
      </c>
      <c r="K47" s="1">
        <v>25627</v>
      </c>
      <c r="L47">
        <v>48521.239649476658</v>
      </c>
      <c r="M47">
        <f>((E47-L47)/L47)*100</f>
        <v>38.572304594293698</v>
      </c>
      <c r="N47">
        <f>LOG(E47)</f>
        <v>4.8276083277223485</v>
      </c>
      <c r="O47">
        <f>LOG(L47)</f>
        <v>4.6859318879498897</v>
      </c>
      <c r="P47">
        <v>4</v>
      </c>
    </row>
    <row r="48" spans="1:16" x14ac:dyDescent="0.35">
      <c r="A48" t="s">
        <v>53</v>
      </c>
      <c r="B48">
        <v>10.199999999999999</v>
      </c>
      <c r="C48">
        <v>221</v>
      </c>
      <c r="D48">
        <v>74120</v>
      </c>
      <c r="E48">
        <v>82598</v>
      </c>
      <c r="F48">
        <v>0.433</v>
      </c>
      <c r="G48">
        <v>47</v>
      </c>
      <c r="H48">
        <v>29</v>
      </c>
      <c r="I48">
        <v>29</v>
      </c>
      <c r="J48">
        <f>(H48+I48)/2</f>
        <v>29</v>
      </c>
      <c r="K48" s="1">
        <v>14851</v>
      </c>
      <c r="L48">
        <v>55992.49828331187</v>
      </c>
      <c r="M48">
        <f>((E48-L48)/L48)*100</f>
        <v>47.516189726111385</v>
      </c>
      <c r="N48">
        <f>LOG(E48)</f>
        <v>4.9169695315881841</v>
      </c>
      <c r="O48">
        <f>LOG(L48)</f>
        <v>4.7481298453562282</v>
      </c>
      <c r="P48">
        <v>1</v>
      </c>
    </row>
    <row r="49" spans="1:16" x14ac:dyDescent="0.35">
      <c r="A49" t="s">
        <v>54</v>
      </c>
      <c r="B49">
        <v>9.9</v>
      </c>
      <c r="C49">
        <v>118</v>
      </c>
      <c r="D49">
        <v>88530</v>
      </c>
      <c r="E49">
        <v>103402</v>
      </c>
      <c r="F49">
        <v>0.96699999999999997</v>
      </c>
      <c r="G49">
        <v>10</v>
      </c>
      <c r="H49">
        <v>30</v>
      </c>
      <c r="I49">
        <v>31</v>
      </c>
      <c r="J49">
        <f>(H49+I49)/2</f>
        <v>30.5</v>
      </c>
      <c r="K49" s="1">
        <v>16594</v>
      </c>
      <c r="L49">
        <v>62323.665315816535</v>
      </c>
      <c r="M49">
        <f>((E49-L49)/L49)*100</f>
        <v>65.911294651918652</v>
      </c>
      <c r="N49">
        <f>LOG(E49)</f>
        <v>5.014528938956798</v>
      </c>
      <c r="O49">
        <f>LOG(L49)</f>
        <v>4.794652986699556</v>
      </c>
      <c r="P49">
        <v>5</v>
      </c>
    </row>
    <row r="50" spans="1:16" x14ac:dyDescent="0.35">
      <c r="A50" t="s">
        <v>55</v>
      </c>
      <c r="B50">
        <v>16.8</v>
      </c>
      <c r="C50">
        <v>74</v>
      </c>
      <c r="D50">
        <v>50770</v>
      </c>
      <c r="E50">
        <v>57711</v>
      </c>
      <c r="F50">
        <v>0.73899999999999999</v>
      </c>
      <c r="G50">
        <v>13</v>
      </c>
      <c r="H50">
        <v>18</v>
      </c>
      <c r="I50">
        <v>21</v>
      </c>
      <c r="J50">
        <f>(H50+I50)/2</f>
        <v>19.5</v>
      </c>
      <c r="K50" s="1">
        <v>15944</v>
      </c>
      <c r="L50">
        <v>39470.346687964622</v>
      </c>
      <c r="M50">
        <f>((E50-L50)/L50)*100</f>
        <v>46.213562440274572</v>
      </c>
      <c r="N50">
        <f>LOG(E50)</f>
        <v>4.7612585997066734</v>
      </c>
      <c r="O50">
        <f>LOG(L50)</f>
        <v>4.5962709410397702</v>
      </c>
      <c r="P50">
        <v>4</v>
      </c>
    </row>
    <row r="51" spans="1:16" x14ac:dyDescent="0.35">
      <c r="A51" t="s">
        <v>56</v>
      </c>
      <c r="B51">
        <v>10.8</v>
      </c>
      <c r="C51">
        <v>109</v>
      </c>
      <c r="D51">
        <v>62500</v>
      </c>
      <c r="E51">
        <v>72484</v>
      </c>
      <c r="F51">
        <v>0.48</v>
      </c>
      <c r="G51">
        <v>18</v>
      </c>
      <c r="H51">
        <v>37</v>
      </c>
      <c r="I51">
        <v>31</v>
      </c>
      <c r="J51">
        <f>(H51+I51)/2</f>
        <v>34</v>
      </c>
      <c r="K51" s="1">
        <v>16844</v>
      </c>
      <c r="L51">
        <v>51479.168372239517</v>
      </c>
      <c r="M51">
        <f>((E51-L51)/L51)*100</f>
        <v>40.802585379540588</v>
      </c>
      <c r="N51">
        <f>LOG(E51)</f>
        <v>4.8602421516940604</v>
      </c>
      <c r="O51">
        <f>LOG(L51)</f>
        <v>4.7116315224152423</v>
      </c>
      <c r="P51">
        <v>4</v>
      </c>
    </row>
    <row r="52" spans="1:16" x14ac:dyDescent="0.35">
      <c r="A52" t="s">
        <v>57</v>
      </c>
      <c r="B52">
        <v>11.4</v>
      </c>
      <c r="C52">
        <v>6</v>
      </c>
      <c r="D52">
        <v>63730</v>
      </c>
      <c r="E52">
        <v>89016</v>
      </c>
      <c r="F52">
        <v>0.497</v>
      </c>
      <c r="G52">
        <v>29</v>
      </c>
      <c r="H52">
        <v>30</v>
      </c>
      <c r="I52">
        <v>29</v>
      </c>
      <c r="J52">
        <f>(H52+I52)/2</f>
        <v>29.5</v>
      </c>
      <c r="K52" s="1">
        <v>21519</v>
      </c>
      <c r="L52">
        <v>69576.050442503678</v>
      </c>
      <c r="M52">
        <f>((E52-L52)/L52)*100</f>
        <v>27.940576439533782</v>
      </c>
      <c r="N52">
        <f>LOG(E52)</f>
        <v>4.9494680750402162</v>
      </c>
      <c r="O52">
        <f>LOG(L52)</f>
        <v>4.8424597719293878</v>
      </c>
      <c r="P52"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B866E3F42E4343A647688994264262" ma:contentTypeVersion="5" ma:contentTypeDescription="Create a new document." ma:contentTypeScope="" ma:versionID="aaf386f7189790d93e56771ab6124be6">
  <xsd:schema xmlns:xsd="http://www.w3.org/2001/XMLSchema" xmlns:xs="http://www.w3.org/2001/XMLSchema" xmlns:p="http://schemas.microsoft.com/office/2006/metadata/properties" xmlns:ns3="435bbd43-0cf5-4ae8-8aa1-7e9be1c7444f" targetNamespace="http://schemas.microsoft.com/office/2006/metadata/properties" ma:root="true" ma:fieldsID="491df6c892a488b32fd323923d6e634b" ns3:_="">
    <xsd:import namespace="435bbd43-0cf5-4ae8-8aa1-7e9be1c7444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bbd43-0cf5-4ae8-8aa1-7e9be1c7444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5bbd43-0cf5-4ae8-8aa1-7e9be1c7444f" xsi:nil="true"/>
  </documentManagement>
</p:properties>
</file>

<file path=customXml/itemProps1.xml><?xml version="1.0" encoding="utf-8"?>
<ds:datastoreItem xmlns:ds="http://schemas.openxmlformats.org/officeDocument/2006/customXml" ds:itemID="{DEF0875D-ECDD-42E1-BFB4-8D7892FF62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FCF4EA-38CF-4919-884C-FA71F0D0DE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5bbd43-0cf5-4ae8-8aa1-7e9be1c744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A7CCF1-6FB7-4770-AB00-5F0DEA1D9A15}">
  <ds:schemaRefs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435bbd43-0cf5-4ae8-8aa1-7e9be1c7444f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John</dc:creator>
  <cp:lastModifiedBy>Wu, John</cp:lastModifiedBy>
  <dcterms:created xsi:type="dcterms:W3CDTF">2025-12-05T02:08:15Z</dcterms:created>
  <dcterms:modified xsi:type="dcterms:W3CDTF">2025-12-10T04:42:02Z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0x0101002CB866E3F42E4343A647688994264262</vt:lpwstr>
  </property>
</Properties>
</file>